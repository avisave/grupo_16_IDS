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RHH" sheetId="1" state="visible" r:id="rId1"/>
    <sheet name="Licencias" sheetId="2" state="visible" r:id="rId2"/>
    <sheet name="Evaluacion" sheetId="3" state="visible" r:id="rId3"/>
    <sheet name="Rendimiento" sheetId="4" state="visible" r:id="rId4"/>
    <sheet name="EdeCostoyBenef" sheetId="5" state="visible" r:id="rId5"/>
    <sheet name="EdeCostoyBenefv2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<sst xmlns="http://schemas.openxmlformats.org/spreadsheetml/2006/main" count="56" uniqueCount="56">
  <si>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Rol</t>
  </si>
  <si>
    <t>Cantidad</t>
  </si>
  <si>
    <t xml:space="preserve">Sueldo Mensual</t>
  </si>
  <si>
    <t xml:space="preserve">Costo Mensual</t>
  </si>
  <si>
    <t xml:space="preserve">Jefe Proyecto</t>
  </si>
  <si>
    <t>Arquitecto</t>
  </si>
  <si>
    <t>Desarrollador</t>
  </si>
  <si>
    <t>QA</t>
  </si>
  <si>
    <t>Promotor-DevOps</t>
  </si>
  <si>
    <t>DB</t>
  </si>
  <si>
    <t xml:space="preserve">Total mensual</t>
  </si>
  <si>
    <t xml:space="preserve">Total anual</t>
  </si>
  <si>
    <t xml:space="preserve">Total con indirectos (30%)</t>
  </si>
  <si>
    <t>CAJA</t>
  </si>
  <si>
    <t>Concepto</t>
  </si>
  <si>
    <t xml:space="preserve">Costo Anual</t>
  </si>
  <si>
    <t xml:space="preserve">IDEs Desarrollo VScode</t>
  </si>
  <si>
    <t>Cloud</t>
  </si>
  <si>
    <t>Testing</t>
  </si>
  <si>
    <t xml:space="preserve">IDEs  PostgreSQL</t>
  </si>
  <si>
    <t xml:space="preserve">IDEs Python</t>
  </si>
  <si>
    <t xml:space="preserve">VPN Proton Essentials</t>
  </si>
  <si>
    <t xml:space="preserve">Mongo db</t>
  </si>
  <si>
    <t xml:space="preserve">Amazon SES (API correo)</t>
  </si>
  <si>
    <t xml:space="preserve"> Red Hat Enterprise Linux (RHEL)</t>
  </si>
  <si>
    <t xml:space="preserve">Total Licencias</t>
  </si>
  <si>
    <t xml:space="preserve">Monto CLP</t>
  </si>
  <si>
    <t xml:space="preserve">Costo RRHH Total</t>
  </si>
  <si>
    <t xml:space="preserve">Costo Licencias</t>
  </si>
  <si>
    <t xml:space="preserve">Costo Total Proyecto</t>
  </si>
  <si>
    <t xml:space="preserve">Beneficio mensual</t>
  </si>
  <si>
    <t xml:space="preserve">Aquí puede ser ahorro HH dado la implementación del sistema</t>
  </si>
  <si>
    <t xml:space="preserve">Beneficio anual</t>
  </si>
  <si>
    <t>Ganancia</t>
  </si>
  <si>
    <t>Rendimiento</t>
  </si>
  <si>
    <t xml:space="preserve">Periodo 0</t>
  </si>
  <si>
    <t>Mes1</t>
  </si>
  <si>
    <t>Mes2</t>
  </si>
  <si>
    <t>Mes3</t>
  </si>
  <si>
    <t>Mes4</t>
  </si>
  <si>
    <t>Mes5</t>
  </si>
  <si>
    <t>Mes6</t>
  </si>
  <si>
    <t>Mes7</t>
  </si>
  <si>
    <t>Mes8</t>
  </si>
  <si>
    <t>Mes9</t>
  </si>
  <si>
    <t>Mes10</t>
  </si>
  <si>
    <t>Mes11</t>
  </si>
  <si>
    <t>Mes12</t>
  </si>
  <si>
    <t>Beneficio</t>
  </si>
  <si>
    <t>Costo</t>
  </si>
  <si>
    <t>INVERSION</t>
  </si>
  <si>
    <t xml:space="preserve">La Inversión para el ejemplo corresponde sólo al periodo 0, del mes1 en adelante corresponde a la diferencia entre el beneficio y el costo</t>
  </si>
  <si>
    <t xml:space="preserve">Si el i esta dado por el usuario por ejemplo 10% sino calcular CAPM</t>
  </si>
  <si>
    <t>VAN</t>
  </si>
  <si>
    <t>TIR</t>
  </si>
  <si>
    <t xml:space="preserve">Flujos Actualizados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</si>
</sst>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7">
    <font>
      <sz val="11.000000"/>
      <color theme="1"/>
      <name val="Calibri"/>
      <scheme val="minor"/>
    </font>
    <font>
      <sz val="11.000000"/>
      <color theme="0"/>
      <name val="Calibri"/>
    </font>
    <font>
      <sz val="11.000000"/>
      <color theme="1"/>
      <name val="Calibri"/>
    </font>
    <font>
      <sz val="11.000000"/>
      <color indexed="65"/>
      <name val="Calibri"/>
    </font>
    <font>
      <color theme="1"/>
      <name val="Calibri"/>
      <scheme val="minor"/>
    </font>
    <font>
      <b/>
      <sz val="11.000000"/>
      <color theme="1"/>
      <name val="Calibri"/>
    </font>
    <font>
      <color rgb="FF1B6EF3"/>
      <name val="Inconsolata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indexed="5"/>
        <bgColor indexed="5"/>
      </patternFill>
    </fill>
    <fill>
      <patternFill patternType="solid">
        <fgColor indexed="64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D6E3BC"/>
        <bgColor rgb="FFD6E3BC"/>
      </patternFill>
    </fill>
    <fill>
      <patternFill patternType="solid">
        <fgColor indexed="65"/>
        <bgColor indexed="65"/>
      </patternFill>
    </fill>
    <fill>
      <patternFill patternType="solid">
        <fgColor rgb="FF8DB3E2"/>
        <bgColor rgb="FF8DB3E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vertical="center"/>
    </xf>
    <xf fontId="2" fillId="0" borderId="1" numFmtId="0" xfId="0" applyFont="1" applyBorder="1"/>
    <xf fontId="2" fillId="0" borderId="1" numFmtId="0" xfId="0" applyFont="1" applyBorder="1" applyAlignment="1">
      <alignment readingOrder="0"/>
    </xf>
    <xf fontId="2" fillId="3" borderId="1" numFmtId="0" xfId="0" applyFont="1" applyFill="1" applyBorder="1"/>
    <xf fontId="3" fillId="4" borderId="1" numFmtId="0" xfId="0" applyFont="1" applyFill="1" applyBorder="1" applyAlignment="1">
      <alignment horizontal="center"/>
    </xf>
    <xf fontId="2" fillId="0" borderId="0" numFmtId="0" xfId="0" applyFont="1"/>
    <xf fontId="3" fillId="0" borderId="0" numFmtId="0" xfId="0" applyFont="1"/>
    <xf fontId="2" fillId="0" borderId="1" numFmtId="0" xfId="0" applyFont="1" applyBorder="1"/>
    <xf fontId="2" fillId="0" borderId="1" numFmtId="3" xfId="0" applyNumberFormat="1" applyFont="1" applyBorder="1" applyAlignment="1">
      <alignment horizontal="right"/>
    </xf>
    <xf fontId="2" fillId="0" borderId="0" numFmtId="0" xfId="0" applyFont="1" applyAlignment="1">
      <alignment horizontal="right"/>
    </xf>
    <xf fontId="4" fillId="0" borderId="1" numFmtId="3" xfId="0" applyNumberFormat="1" applyFont="1" applyBorder="1" applyAlignment="1">
      <alignment readingOrder="0"/>
    </xf>
    <xf fontId="2" fillId="5" borderId="1" numFmtId="0" xfId="0" applyFont="1" applyFill="1" applyBorder="1"/>
    <xf fontId="2" fillId="5" borderId="1" numFmtId="3" xfId="0" applyNumberFormat="1" applyFont="1" applyFill="1" applyBorder="1" applyAlignment="1">
      <alignment horizontal="right"/>
    </xf>
    <xf fontId="3" fillId="0" borderId="0" numFmtId="0" xfId="0" applyFont="1" applyAlignment="1">
      <alignment horizontal="right"/>
    </xf>
    <xf fontId="2" fillId="0" borderId="0" numFmtId="3" xfId="0" applyNumberFormat="1" applyFont="1" applyAlignment="1">
      <alignment horizontal="right"/>
    </xf>
    <xf fontId="2" fillId="0" borderId="0" numFmtId="3" xfId="0" applyNumberFormat="1" applyFont="1" applyAlignment="1">
      <alignment horizontal="right"/>
    </xf>
    <xf fontId="2" fillId="3" borderId="1" numFmtId="0" xfId="0" applyFont="1" applyFill="1" applyBorder="1"/>
    <xf fontId="2" fillId="3" borderId="1" numFmtId="3" xfId="0" applyNumberFormat="1" applyFont="1" applyFill="1" applyBorder="1" applyAlignment="1">
      <alignment horizontal="right"/>
    </xf>
    <xf fontId="4" fillId="0" borderId="0" numFmtId="0" xfId="0" applyFont="1"/>
    <xf fontId="2" fillId="6" borderId="1" numFmtId="0" xfId="0" applyFont="1" applyFill="1" applyBorder="1"/>
    <xf fontId="2" fillId="6" borderId="1" numFmtId="3" xfId="0" applyNumberFormat="1" applyFont="1" applyFill="1" applyBorder="1" applyAlignment="1">
      <alignment horizontal="right"/>
    </xf>
    <xf fontId="2" fillId="7" borderId="1" numFmtId="0" xfId="0" applyFont="1" applyFill="1" applyBorder="1"/>
    <xf fontId="2" fillId="7" borderId="1" numFmtId="0" xfId="0" applyFont="1" applyFill="1" applyBorder="1"/>
    <xf fontId="1" fillId="2" borderId="0" numFmtId="0" xfId="0" applyFont="1" applyFill="1" applyAlignment="1">
      <alignment horizontal="center" vertical="center"/>
    </xf>
    <xf fontId="2" fillId="3" borderId="1" numFmtId="3" xfId="0" applyNumberFormat="1" applyFont="1" applyFill="1" applyBorder="1" applyAlignment="1">
      <alignment readingOrder="0"/>
    </xf>
    <xf fontId="2" fillId="5" borderId="1" numFmtId="0" xfId="0" applyFont="1" applyFill="1" applyBorder="1"/>
    <xf fontId="2" fillId="5" borderId="1" numFmtId="0" xfId="0" applyFont="1" applyFill="1" applyBorder="1" applyAlignment="1">
      <alignment readingOrder="0"/>
    </xf>
    <xf fontId="2" fillId="8" borderId="1" numFmtId="0" xfId="0" applyFont="1" applyFill="1" applyBorder="1"/>
    <xf fontId="2" fillId="8" borderId="1" numFmtId="3" xfId="0" applyNumberFormat="1" applyFont="1" applyFill="1" applyBorder="1" applyAlignment="1">
      <alignment readingOrder="0"/>
    </xf>
    <xf fontId="2" fillId="8" borderId="1" numFmtId="3" xfId="0" applyNumberFormat="1" applyFont="1" applyFill="1" applyBorder="1"/>
    <xf fontId="5" fillId="7" borderId="1" numFmtId="0" xfId="0" applyFont="1" applyFill="1" applyBorder="1"/>
    <xf fontId="5" fillId="7" borderId="1" numFmtId="164" xfId="0" applyNumberFormat="1" applyFont="1" applyFill="1" applyBorder="1"/>
    <xf fontId="5" fillId="7" borderId="1" numFmtId="9" xfId="0" applyNumberFormat="1" applyFont="1" applyFill="1" applyBorder="1"/>
    <xf fontId="6" fillId="9" borderId="0" numFmtId="3" xfId="0" applyNumberFormat="1" applyFont="1" applyFill="1" applyAlignment="1">
      <alignment readingOrder="0"/>
    </xf>
    <xf fontId="2" fillId="10" borderId="1" numFmtId="0" xfId="0" applyFont="1" applyFill="1" applyBorder="1"/>
    <xf fontId="2" fillId="7" borderId="1" numFmtId="164" xfId="0" applyNumberFormat="1" applyFont="1" applyFill="1" applyBorder="1"/>
    <xf fontId="2" fillId="7" borderId="1" numFmtId="1" xfId="0" applyNumberFormat="1" applyFont="1" applyFill="1" applyBorder="1"/>
    <xf fontId="2" fillId="7" borderId="1" numFmt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8.289999999999999"/>
    <col customWidth="1" min="2" max="2" width="8.7100000000000009"/>
    <col customWidth="1" min="3" max="3" width="24.57"/>
    <col customWidth="1" min="4" max="4" width="17.140000000000001"/>
    <col customWidth="1" min="5" max="26" width="8.710000000000000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>
        <v>1</v>
      </c>
      <c r="C2" s="3">
        <v>800000</v>
      </c>
      <c r="D2" s="2">
        <f t="shared" ref="D2:D7" si="0">B2*C2</f>
        <v>800000</v>
      </c>
    </row>
    <row r="3" ht="14.25" customHeight="1">
      <c r="A3" s="2" t="s">
        <v>5</v>
      </c>
      <c r="B3" s="2">
        <v>1</v>
      </c>
      <c r="C3" s="3">
        <v>800000</v>
      </c>
      <c r="D3" s="2">
        <f t="shared" si="0"/>
        <v>800000</v>
      </c>
    </row>
    <row r="4" ht="14.25" customHeight="1">
      <c r="A4" s="2" t="s">
        <v>6</v>
      </c>
      <c r="B4" s="3">
        <v>1</v>
      </c>
      <c r="C4" s="3">
        <v>700000</v>
      </c>
      <c r="D4" s="2">
        <f t="shared" si="0"/>
        <v>700000</v>
      </c>
    </row>
    <row r="5" ht="14.25" customHeight="1">
      <c r="A5" s="2" t="s">
        <v>7</v>
      </c>
      <c r="B5" s="2">
        <v>1</v>
      </c>
      <c r="C5" s="3">
        <v>700000</v>
      </c>
      <c r="D5" s="2">
        <f t="shared" si="0"/>
        <v>700000</v>
      </c>
    </row>
    <row r="6" ht="14.25" customHeight="1">
      <c r="A6" s="2" t="s">
        <v>8</v>
      </c>
      <c r="B6" s="2">
        <v>1</v>
      </c>
      <c r="C6" s="3">
        <v>750000</v>
      </c>
      <c r="D6" s="2">
        <f t="shared" si="0"/>
        <v>750000</v>
      </c>
    </row>
    <row r="7" ht="14.25" customHeight="1">
      <c r="A7" s="2" t="s">
        <v>9</v>
      </c>
      <c r="B7" s="2">
        <v>1</v>
      </c>
      <c r="C7" s="3">
        <v>800000</v>
      </c>
      <c r="D7" s="2">
        <f t="shared" si="0"/>
        <v>800000</v>
      </c>
    </row>
    <row r="8" ht="14.25" customHeight="1"/>
    <row r="9" ht="14.25" customHeight="1"/>
    <row r="10" ht="14.25" customHeight="1">
      <c r="C10" s="2" t="s">
        <v>10</v>
      </c>
      <c r="D10" s="2">
        <f>SUM(D2:D7)</f>
        <v>4550000</v>
      </c>
    </row>
    <row r="11" ht="14.25" customHeight="1">
      <c r="C11" s="2" t="s">
        <v>11</v>
      </c>
      <c r="D11" s="2">
        <f>D10*12</f>
        <v>54600000</v>
      </c>
    </row>
    <row r="12" ht="14.25" customHeight="1">
      <c r="C12" s="4" t="s">
        <v>12</v>
      </c>
      <c r="D12" s="4">
        <f>D11*1.3</f>
        <v>70980000</v>
      </c>
    </row>
    <row r="13" ht="14.25" customHeight="1">
      <c r="C13" s="2" t="s">
        <v>13</v>
      </c>
      <c r="D13" s="2">
        <v>35640000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35.289999999999999"/>
    <col customWidth="1" min="2" max="2" width="15.57"/>
    <col customWidth="1" min="3" max="3" width="24.710000000000001"/>
    <col customWidth="1" min="4" max="4" width="12"/>
    <col customWidth="1" min="5" max="5" width="11.140000000000001"/>
    <col customWidth="1" min="6" max="6" width="11.710000000000001"/>
    <col customWidth="1" min="7" max="7" width="8.7100000000000009"/>
    <col customWidth="1" min="8" max="8" width="9.5700000000000003"/>
    <col customWidth="1" min="9" max="9" width="33.140000000000001"/>
    <col customWidth="1" min="10" max="10" width="15.140000000000001"/>
    <col customWidth="1" min="11" max="26" width="8.7100000000000009"/>
  </cols>
  <sheetData>
    <row r="1" ht="14.25" customHeight="1">
      <c r="A1" s="5" t="s">
        <v>14</v>
      </c>
      <c r="B1" s="5" t="s">
        <v>15</v>
      </c>
      <c r="C1" s="6"/>
      <c r="D1" s="7"/>
      <c r="E1" s="7"/>
      <c r="F1" s="7"/>
      <c r="G1" s="7"/>
      <c r="H1" s="7"/>
      <c r="I1" s="7"/>
      <c r="J1" s="7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4.25" customHeight="1">
      <c r="A2" s="8" t="s">
        <v>16</v>
      </c>
      <c r="B2" s="9">
        <v>0</v>
      </c>
      <c r="C2" s="6"/>
      <c r="D2" s="6"/>
      <c r="E2" s="10"/>
      <c r="F2" s="10"/>
      <c r="G2" s="6"/>
      <c r="H2" s="10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4.25" customHeight="1">
      <c r="A3" s="8" t="s">
        <v>17</v>
      </c>
      <c r="B3" s="9">
        <v>12145440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4.25" customHeight="1">
      <c r="A4" s="8" t="s">
        <v>18</v>
      </c>
      <c r="B4" s="9">
        <v>9566539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4.25" customHeight="1">
      <c r="A5" s="8" t="s">
        <v>19</v>
      </c>
      <c r="B5" s="9">
        <v>0</v>
      </c>
      <c r="C5" s="6"/>
      <c r="D5" s="7"/>
      <c r="E5" s="7"/>
      <c r="F5" s="7"/>
      <c r="G5" s="7"/>
      <c r="H5" s="7"/>
      <c r="I5" s="7"/>
      <c r="J5" s="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4.25" customHeight="1">
      <c r="A6" s="8" t="s">
        <v>20</v>
      </c>
      <c r="B6" s="9">
        <v>0</v>
      </c>
      <c r="C6" s="6"/>
      <c r="D6" s="6"/>
      <c r="E6" s="10"/>
      <c r="F6" s="10"/>
      <c r="G6" s="6"/>
      <c r="H6" s="10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4.25" customHeight="1">
      <c r="A7" s="8" t="s">
        <v>21</v>
      </c>
      <c r="B7" s="9">
        <v>1497834.0900000001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4.25" customHeight="1">
      <c r="A8" s="3" t="s">
        <v>22</v>
      </c>
      <c r="B8" s="11">
        <v>652000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4.25" customHeight="1">
      <c r="A9" s="8" t="s">
        <v>23</v>
      </c>
      <c r="B9" s="9">
        <v>6749.8999999999996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4.25" customHeight="1">
      <c r="A10" s="8" t="s">
        <v>24</v>
      </c>
      <c r="B10" s="9">
        <v>2549603.6099999999</v>
      </c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4.25" customHeight="1">
      <c r="A11" s="12" t="s">
        <v>25</v>
      </c>
      <c r="B11" s="13">
        <f>SUM(B2:B10)</f>
        <v>26418166.600000001</v>
      </c>
      <c r="C11" s="6"/>
      <c r="D11" s="7"/>
      <c r="E11" s="7"/>
      <c r="F11" s="7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4.25" customHeight="1">
      <c r="A16" s="7"/>
      <c r="B16" s="14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4.25" customHeight="1">
      <c r="A17" s="7"/>
      <c r="B17" s="14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4.25" customHeight="1">
      <c r="A18" s="7"/>
      <c r="B18" s="6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4.25" customHeight="1">
      <c r="A19" s="7"/>
      <c r="B19" s="6"/>
      <c r="C19" s="7"/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4.25" customHeight="1">
      <c r="A20" s="6"/>
      <c r="B20" s="6"/>
      <c r="C20" s="6"/>
      <c r="D20" s="1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4.25" customHeight="1">
      <c r="A21" s="6"/>
      <c r="B21" s="6"/>
      <c r="C21" s="6"/>
      <c r="D21" s="1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4.25" customHeight="1">
      <c r="A23" s="6"/>
      <c r="B23" s="1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4.25" customHeight="1">
      <c r="A24" s="6"/>
      <c r="B24" s="1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4.25" customHeight="1">
      <c r="A40" s="6"/>
      <c r="B40" s="6"/>
      <c r="C40" s="6"/>
      <c r="D40" s="6"/>
      <c r="E40" s="6"/>
      <c r="F40" s="6"/>
      <c r="G40" s="1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9"/>
    <col customWidth="1" min="2" max="2" width="31.289999999999999"/>
    <col customWidth="1" min="3" max="26" width="8.7100000000000009"/>
  </cols>
  <sheetData>
    <row r="1" ht="14.25" customHeight="1">
      <c r="A1" s="5" t="s">
        <v>14</v>
      </c>
      <c r="B1" s="5" t="s">
        <v>26</v>
      </c>
    </row>
    <row r="2" ht="14.25" customHeight="1">
      <c r="A2" s="17" t="s">
        <v>27</v>
      </c>
      <c r="B2" s="18">
        <f>RRHH!D12</f>
        <v>70980000</v>
      </c>
    </row>
    <row r="3" ht="14.25" customHeight="1">
      <c r="A3" s="12" t="s">
        <v>28</v>
      </c>
      <c r="B3" s="13">
        <f>Licencias!B11</f>
        <v>26418166.600000001</v>
      </c>
    </row>
    <row r="4" ht="14.25" customHeight="1">
      <c r="A4" s="8" t="s">
        <v>29</v>
      </c>
      <c r="B4" s="9">
        <f>B2+B3</f>
        <v>97398166.599999994</v>
      </c>
    </row>
    <row r="5" ht="14.25" customHeight="1">
      <c r="A5" s="8" t="s">
        <v>30</v>
      </c>
      <c r="B5" s="9">
        <f>(RRHH!D10+(Licencias!B11/12))</f>
        <v>6751513.8830000004</v>
      </c>
      <c r="C5" s="19" t="s">
        <v>31</v>
      </c>
    </row>
    <row r="6" ht="14.25" customHeight="1">
      <c r="A6" s="20" t="s">
        <v>32</v>
      </c>
      <c r="B6" s="21">
        <f>B5*12</f>
        <v>81018166.599999994</v>
      </c>
    </row>
    <row r="7" ht="14.25" customHeight="1">
      <c r="A7" s="8" t="s">
        <v>33</v>
      </c>
      <c r="B7" s="9">
        <f>B6-B4</f>
        <v>-16380000</v>
      </c>
    </row>
    <row r="8" ht="14.25" customHeight="1">
      <c r="A8" s="22" t="s">
        <v>34</v>
      </c>
      <c r="B8" s="23">
        <f>(B6-B4)/B4</f>
        <v>-0.1681756502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9"/>
    <col customWidth="1" min="2" max="2" width="31.289999999999999"/>
    <col customWidth="1" min="3" max="3" width="14"/>
    <col customWidth="1" min="4" max="26" width="8.7100000000000009"/>
  </cols>
  <sheetData>
    <row r="1" ht="14.25" customHeight="1">
      <c r="A1" s="1" t="s">
        <v>14</v>
      </c>
      <c r="B1" s="1" t="s">
        <v>26</v>
      </c>
    </row>
    <row r="2" ht="14.25" customHeight="1">
      <c r="A2" s="17" t="s">
        <v>27</v>
      </c>
      <c r="B2" s="18">
        <f>RRHH!D12</f>
        <v>70980000</v>
      </c>
    </row>
    <row r="3" ht="14.25" customHeight="1">
      <c r="A3" s="12" t="s">
        <v>28</v>
      </c>
      <c r="B3" s="13">
        <f>Licencias!B11</f>
        <v>26418166.600000001</v>
      </c>
    </row>
    <row r="4" ht="14.25" customHeight="1">
      <c r="A4" s="8" t="s">
        <v>29</v>
      </c>
      <c r="B4" s="9">
        <f>B2+B3</f>
        <v>97398166.599999994</v>
      </c>
      <c r="C4" s="19">
        <f>B4/12</f>
        <v>8116513.8830000004</v>
      </c>
    </row>
    <row r="5" ht="14.25" customHeight="1">
      <c r="A5" s="8" t="s">
        <v>30</v>
      </c>
      <c r="B5" s="9">
        <f>(RRHH!D10+(Licencias!B11/12))</f>
        <v>6751513.8830000004</v>
      </c>
      <c r="C5" s="19" t="s">
        <v>31</v>
      </c>
    </row>
    <row r="6" ht="14.25" customHeight="1">
      <c r="A6" s="20" t="s">
        <v>32</v>
      </c>
      <c r="B6" s="21">
        <f>B5*12</f>
        <v>81018166.599999994</v>
      </c>
    </row>
    <row r="7" ht="14.25" customHeight="1">
      <c r="A7" s="8" t="s">
        <v>33</v>
      </c>
      <c r="B7" s="9">
        <f>B6-B4</f>
        <v>-16380000</v>
      </c>
    </row>
    <row r="8" ht="14.25" customHeight="1">
      <c r="A8" s="23" t="s">
        <v>34</v>
      </c>
      <c r="B8" s="23">
        <f>B6/B4</f>
        <v>0.83182434979999997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18.710000000000001"/>
    <col customWidth="1" min="3" max="26" width="10.710000000000001"/>
  </cols>
  <sheetData>
    <row r="1" ht="14.25" customHeight="1">
      <c r="B1" s="24" t="s">
        <v>35</v>
      </c>
      <c r="C1" s="24" t="s">
        <v>36</v>
      </c>
      <c r="D1" s="24" t="s">
        <v>37</v>
      </c>
      <c r="E1" s="24" t="s">
        <v>38</v>
      </c>
      <c r="F1" s="24" t="s">
        <v>39</v>
      </c>
      <c r="G1" s="24" t="s">
        <v>40</v>
      </c>
      <c r="H1" s="24" t="s">
        <v>41</v>
      </c>
      <c r="I1" s="24" t="s">
        <v>42</v>
      </c>
      <c r="J1" s="24" t="s">
        <v>43</v>
      </c>
      <c r="K1" s="24" t="s">
        <v>44</v>
      </c>
      <c r="L1" s="24" t="s">
        <v>45</v>
      </c>
      <c r="M1" s="24" t="s">
        <v>46</v>
      </c>
      <c r="N1" s="24" t="s">
        <v>47</v>
      </c>
    </row>
    <row r="2" ht="14.25" customHeight="1">
      <c r="A2" s="4" t="s">
        <v>48</v>
      </c>
      <c r="B2" s="4"/>
      <c r="C2" s="25">
        <v>8797181</v>
      </c>
      <c r="D2" s="25">
        <v>8797181</v>
      </c>
      <c r="E2" s="25">
        <v>8797181</v>
      </c>
      <c r="F2" s="25">
        <v>8797181</v>
      </c>
      <c r="G2" s="25">
        <v>8797181</v>
      </c>
      <c r="H2" s="25">
        <v>8797181</v>
      </c>
      <c r="I2" s="25">
        <v>8797181</v>
      </c>
      <c r="J2" s="25">
        <v>8797181</v>
      </c>
      <c r="K2" s="25">
        <v>8797181</v>
      </c>
      <c r="L2" s="25">
        <v>8797181</v>
      </c>
      <c r="M2" s="25">
        <v>8797181</v>
      </c>
      <c r="N2" s="25">
        <v>8797181</v>
      </c>
    </row>
    <row r="3" ht="14.25" customHeight="1">
      <c r="A3" s="26" t="s">
        <v>49</v>
      </c>
      <c r="B3" s="26"/>
      <c r="C3" s="27">
        <v>6751514</v>
      </c>
      <c r="D3" s="27">
        <v>5250000</v>
      </c>
      <c r="E3" s="27">
        <v>5250000</v>
      </c>
      <c r="F3" s="27">
        <v>5250000</v>
      </c>
      <c r="G3" s="27">
        <v>5250000</v>
      </c>
      <c r="H3" s="27">
        <v>5250000</v>
      </c>
      <c r="I3" s="27">
        <v>5250000</v>
      </c>
      <c r="J3" s="27">
        <v>5250000</v>
      </c>
      <c r="K3" s="27">
        <v>5250000</v>
      </c>
      <c r="L3" s="27">
        <v>5250000</v>
      </c>
      <c r="M3" s="27">
        <v>5250000</v>
      </c>
      <c r="N3" s="27">
        <v>5250000</v>
      </c>
    </row>
    <row r="4" ht="14.25" customHeight="1">
      <c r="A4" s="28" t="s">
        <v>50</v>
      </c>
      <c r="B4" s="29">
        <v>-23940000</v>
      </c>
      <c r="C4" s="30">
        <f t="shared" ref="C4:N4" si="1">C2-C3</f>
        <v>2045667</v>
      </c>
      <c r="D4" s="30">
        <f t="shared" si="1"/>
        <v>3547181</v>
      </c>
      <c r="E4" s="30">
        <f t="shared" si="1"/>
        <v>3547181</v>
      </c>
      <c r="F4" s="30">
        <f t="shared" si="1"/>
        <v>3547181</v>
      </c>
      <c r="G4" s="30">
        <f t="shared" si="1"/>
        <v>3547181</v>
      </c>
      <c r="H4" s="30">
        <f t="shared" si="1"/>
        <v>3547181</v>
      </c>
      <c r="I4" s="30">
        <f t="shared" si="1"/>
        <v>3547181</v>
      </c>
      <c r="J4" s="30">
        <f t="shared" si="1"/>
        <v>3547181</v>
      </c>
      <c r="K4" s="30">
        <f t="shared" si="1"/>
        <v>3547181</v>
      </c>
      <c r="L4" s="30">
        <f t="shared" si="1"/>
        <v>3547181</v>
      </c>
      <c r="M4" s="30">
        <f t="shared" si="1"/>
        <v>3547181</v>
      </c>
      <c r="N4" s="30">
        <f t="shared" si="1"/>
        <v>3547181</v>
      </c>
    </row>
    <row r="5" ht="14.25" customHeight="1">
      <c r="A5" s="19" t="s">
        <v>51</v>
      </c>
    </row>
    <row r="6" ht="14.25" customHeight="1">
      <c r="A6" s="19" t="s">
        <v>52</v>
      </c>
    </row>
    <row r="7" ht="14.25" customHeight="1"/>
    <row r="8" ht="14.25" customHeight="1">
      <c r="A8" s="31" t="s">
        <v>53</v>
      </c>
      <c r="B8" s="32">
        <f t="array" ref="B8">NPV(0.1,C4:N4)+B4</f>
        <v>-1135614.5530000001</v>
      </c>
    </row>
    <row r="9" ht="14.25" customHeight="1">
      <c r="A9" s="31" t="s">
        <v>54</v>
      </c>
      <c r="B9" s="33">
        <f>IRR(B4:N4)</f>
        <v>0.090655654949999998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G19" s="34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9"/>
    <col customWidth="1" min="2" max="2" width="18.710000000000001"/>
    <col customWidth="1" min="3" max="26" width="10.710000000000001"/>
  </cols>
  <sheetData>
    <row r="1" ht="14.25" customHeight="1">
      <c r="B1" s="24" t="s">
        <v>35</v>
      </c>
      <c r="C1" s="24" t="s">
        <v>36</v>
      </c>
      <c r="D1" s="24" t="s">
        <v>37</v>
      </c>
      <c r="E1" s="24" t="s">
        <v>38</v>
      </c>
      <c r="F1" s="24" t="s">
        <v>39</v>
      </c>
      <c r="G1" s="24" t="s">
        <v>40</v>
      </c>
      <c r="H1" s="24" t="s">
        <v>41</v>
      </c>
      <c r="I1" s="24" t="s">
        <v>42</v>
      </c>
      <c r="J1" s="24" t="s">
        <v>43</v>
      </c>
      <c r="K1" s="24" t="s">
        <v>44</v>
      </c>
      <c r="L1" s="24" t="s">
        <v>45</v>
      </c>
      <c r="M1" s="24" t="s">
        <v>46</v>
      </c>
      <c r="N1" s="24" t="s">
        <v>47</v>
      </c>
    </row>
    <row r="2" ht="14.25" customHeight="1">
      <c r="A2" s="4" t="s">
        <v>48</v>
      </c>
      <c r="B2" s="4"/>
      <c r="C2" s="25">
        <v>8797181</v>
      </c>
      <c r="D2" s="25">
        <v>8797181</v>
      </c>
      <c r="E2" s="25">
        <v>8797181</v>
      </c>
      <c r="F2" s="25">
        <v>8797181</v>
      </c>
      <c r="G2" s="25">
        <v>8797181</v>
      </c>
      <c r="H2" s="25">
        <v>8797181</v>
      </c>
      <c r="I2" s="25">
        <v>8797181</v>
      </c>
      <c r="J2" s="25">
        <v>8797181</v>
      </c>
      <c r="K2" s="25">
        <v>8797181</v>
      </c>
      <c r="L2" s="25">
        <v>8797181</v>
      </c>
      <c r="M2" s="25">
        <v>8797181</v>
      </c>
      <c r="N2" s="25">
        <v>8797181</v>
      </c>
    </row>
    <row r="3" ht="14.25" customHeight="1">
      <c r="A3" s="26" t="s">
        <v>49</v>
      </c>
      <c r="B3" s="26"/>
      <c r="C3" s="27">
        <v>6751514</v>
      </c>
      <c r="D3" s="27">
        <v>6751514</v>
      </c>
      <c r="E3" s="27">
        <v>6751514</v>
      </c>
      <c r="F3" s="27">
        <v>6751514</v>
      </c>
      <c r="G3" s="27">
        <v>6751514</v>
      </c>
      <c r="H3" s="27">
        <v>6751514</v>
      </c>
      <c r="I3" s="27">
        <v>6751514</v>
      </c>
      <c r="J3" s="27">
        <v>6751514</v>
      </c>
      <c r="K3" s="27">
        <v>6751514</v>
      </c>
      <c r="L3" s="27">
        <v>6751514</v>
      </c>
      <c r="M3" s="27">
        <v>6751514</v>
      </c>
      <c r="N3" s="27">
        <v>6751514</v>
      </c>
    </row>
    <row r="4" ht="14.25" customHeight="1">
      <c r="A4" s="28" t="s">
        <v>50</v>
      </c>
      <c r="B4" s="28">
        <v>-16599000</v>
      </c>
      <c r="C4" s="30">
        <f t="shared" ref="C4:N4" si="2">C2-C3</f>
        <v>2045667</v>
      </c>
      <c r="D4" s="30">
        <f t="shared" si="2"/>
        <v>2045667</v>
      </c>
      <c r="E4" s="30">
        <f t="shared" si="2"/>
        <v>2045667</v>
      </c>
      <c r="F4" s="30">
        <f t="shared" si="2"/>
        <v>2045667</v>
      </c>
      <c r="G4" s="30">
        <f t="shared" si="2"/>
        <v>2045667</v>
      </c>
      <c r="H4" s="30">
        <f t="shared" si="2"/>
        <v>2045667</v>
      </c>
      <c r="I4" s="30">
        <f t="shared" si="2"/>
        <v>2045667</v>
      </c>
      <c r="J4" s="30">
        <f t="shared" si="2"/>
        <v>2045667</v>
      </c>
      <c r="K4" s="30">
        <f t="shared" si="2"/>
        <v>2045667</v>
      </c>
      <c r="L4" s="30">
        <f t="shared" si="2"/>
        <v>2045667</v>
      </c>
      <c r="M4" s="30">
        <f t="shared" si="2"/>
        <v>2045667</v>
      </c>
      <c r="N4" s="30">
        <f t="shared" si="2"/>
        <v>2045667</v>
      </c>
    </row>
    <row r="5" ht="14.25" customHeight="1">
      <c r="A5" s="35" t="s">
        <v>55</v>
      </c>
      <c r="B5" s="35">
        <v>-16599000</v>
      </c>
      <c r="C5" s="35">
        <f>C4/POWER(1.1,1)</f>
        <v>1859697.273</v>
      </c>
      <c r="D5" s="35">
        <f>D4/POWER(1.1,2)</f>
        <v>1690633.8840000001</v>
      </c>
      <c r="E5" s="35">
        <f>E4/POWER(1.1,3)</f>
        <v>1536939.895</v>
      </c>
      <c r="F5" s="35">
        <f>F4/POWER(1.1,4)</f>
        <v>1397218.0859999999</v>
      </c>
      <c r="G5" s="35">
        <f>G4/POWER(1.1,5)</f>
        <v>1270198.26</v>
      </c>
      <c r="H5" s="35">
        <f>H4/POWER(1.1,6)</f>
        <v>1154725.6910000001</v>
      </c>
      <c r="I5" s="35">
        <f>I4/POWER(1.1,7)</f>
        <v>1049750.628</v>
      </c>
      <c r="J5" s="35">
        <f>J4/POWER(1.1,8)</f>
        <v>954318.75300000003</v>
      </c>
      <c r="K5" s="35">
        <f>K4/POWER(1.1,9)</f>
        <v>867562.50269999995</v>
      </c>
      <c r="L5" s="35">
        <f>L4/POWER(1.1,10)</f>
        <v>788693.18429999996</v>
      </c>
      <c r="M5" s="35">
        <f>M4/POWER(1.1,11)</f>
        <v>716993.80390000006</v>
      </c>
      <c r="N5" s="35">
        <f>N4/POWER(1.1,12)</f>
        <v>651812.549</v>
      </c>
    </row>
    <row r="6" ht="14.25" customHeight="1"/>
    <row r="7" ht="14.25" customHeight="1">
      <c r="A7" s="19" t="s">
        <v>51</v>
      </c>
    </row>
    <row r="8" ht="14.25" customHeight="1">
      <c r="A8" s="19" t="s">
        <v>52</v>
      </c>
    </row>
    <row r="9" ht="14.25" customHeight="1"/>
    <row r="10" ht="14.25" customHeight="1">
      <c r="A10" s="23" t="s">
        <v>53</v>
      </c>
      <c r="B10" s="36">
        <f t="array" ref="B10">NPV(0.1,C4:N4)+B4</f>
        <v>-2660455.4900000002</v>
      </c>
      <c r="C10" s="23"/>
      <c r="D10" s="37">
        <f>SUM(B5:N5)</f>
        <v>-2660455.4900000002</v>
      </c>
    </row>
    <row r="11" ht="14.25" customHeight="1">
      <c r="A11" s="23" t="s">
        <v>54</v>
      </c>
      <c r="B11" s="38">
        <f>IRR(B4:N4)</f>
        <v>0.066013307110000002</v>
      </c>
      <c r="C11" s="23"/>
      <c r="D11" s="38">
        <f>IRR(B4:N4)</f>
        <v>0.066013307110000002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